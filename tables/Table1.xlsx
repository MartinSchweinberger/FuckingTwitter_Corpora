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c3b6fdff4c5443/Dokumente/University/UQ/ResearchProjects/FuckingTwitter/tables/"/>
    </mc:Choice>
  </mc:AlternateContent>
  <xr:revisionPtr revIDLastSave="0" documentId="8_{8D2F2612-7847-489C-819C-F7932CBAF5F2}" xr6:coauthVersionLast="47" xr6:coauthVersionMax="47" xr10:uidLastSave="{00000000-0000-0000-0000-000000000000}"/>
  <bookViews>
    <workbookView xWindow="15108" yWindow="2616" windowWidth="14460" windowHeight="12684" activeTab="1" xr2:uid="{423062E4-8CC5-4A5F-9BE1-D70FEFFBB4D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D9" i="2"/>
  <c r="D10" i="2"/>
  <c r="D11" i="2"/>
  <c r="D8" i="2"/>
  <c r="C5" i="1"/>
  <c r="D5" i="1"/>
  <c r="E5" i="1"/>
  <c r="F5" i="1"/>
  <c r="B5" i="1"/>
  <c r="I5" i="1" s="1"/>
  <c r="H5" i="1" l="1"/>
  <c r="G5" i="1"/>
</calcChain>
</file>

<file path=xl/sharedStrings.xml><?xml version="1.0" encoding="utf-8"?>
<sst xmlns="http://schemas.openxmlformats.org/spreadsheetml/2006/main" count="35" uniqueCount="15">
  <si>
    <t>Users</t>
  </si>
  <si>
    <t>Australia</t>
  </si>
  <si>
    <t>United Kingdom</t>
  </si>
  <si>
    <t>United States</t>
  </si>
  <si>
    <t>Total</t>
  </si>
  <si>
    <t>Avg. Length Tweet</t>
  </si>
  <si>
    <t>Vulgar Tweets (%)</t>
  </si>
  <si>
    <t>Vulgar Tokens (%)</t>
  </si>
  <si>
    <t>Vulgar Tweets (N)</t>
  </si>
  <si>
    <t>Vulgar Tokens (N)</t>
  </si>
  <si>
    <t>Users (N)</t>
  </si>
  <si>
    <t>Tweets (N)</t>
  </si>
  <si>
    <t>Tokens (N)</t>
  </si>
  <si>
    <t>Vulgarity users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</si>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</sst>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C108-9F20-4B07-B8F1-5373F5107B6B}">
  <dimension ref="A1:I5"/>
  <sheetViews>
    <sheetView workbookViewId="0">
      <selection activeCell="A7" sqref="A7:I11"/>
    </sheetView>
  </sheetViews>
  <sheetFormatPr defaultRowHeight="14.4" x14ac:dyDescent="0.3"/>
  <cols>
    <col min="1" max="1" width="13.5546875" bestFit="1" customWidth="1"/>
    <col min="2" max="2" width="10.109375" style="2" bestFit="1" customWidth="1"/>
    <col min="3" max="3" width="9.109375" style="2" bestFit="1" customWidth="1"/>
    <col min="4" max="4" width="7.5546875" style="2" bestFit="1" customWidth="1"/>
    <col min="5" max="5" width="8" style="2" customWidth="1"/>
    <col min="6" max="6" width="7.21875" style="2" customWidth="1"/>
    <col min="7" max="7" width="9.5546875" style="2" customWidth="1"/>
    <col min="8" max="8" width="7" style="2" customWidth="1"/>
    <col min="9" max="9" width="7" customWidth="1"/>
  </cols>
  <sheetData>
    <row r="1" spans="1:9" ht="43.2" x14ac:dyDescent="0.3">
      <c r="A1" s="4"/>
      <c r="B1" s="5" t="s">
        <v>12</v>
      </c>
      <c r="C1" s="5" t="s">
        <v>11</v>
      </c>
      <c r="D1" s="5" t="s">
        <v>10</v>
      </c>
      <c r="E1" s="5" t="s">
        <v>9</v>
      </c>
      <c r="F1" s="5" t="s">
        <v>8</v>
      </c>
      <c r="G1" s="5" t="s">
        <v>5</v>
      </c>
      <c r="H1" s="5" t="s">
        <v>6</v>
      </c>
      <c r="I1" s="5" t="s">
        <v>7</v>
      </c>
    </row>
    <row r="2" spans="1:9" x14ac:dyDescent="0.3">
      <c r="A2" s="3" t="s">
        <v>1</v>
      </c>
      <c r="B2" s="1">
        <v>1360301</v>
      </c>
      <c r="C2" s="1">
        <v>80411</v>
      </c>
      <c r="D2" s="1">
        <v>7400</v>
      </c>
      <c r="E2" s="1">
        <v>3719</v>
      </c>
      <c r="F2" s="1">
        <v>3400</v>
      </c>
      <c r="G2" s="1">
        <v>16.899999999999999</v>
      </c>
      <c r="H2" s="1">
        <v>4.2300000000000004</v>
      </c>
      <c r="I2" s="1">
        <v>0.27</v>
      </c>
    </row>
    <row r="3" spans="1:9" x14ac:dyDescent="0.3">
      <c r="A3" s="3" t="s">
        <v>2</v>
      </c>
      <c r="B3" s="1">
        <v>7470552</v>
      </c>
      <c r="C3" s="1">
        <v>449425</v>
      </c>
      <c r="D3" s="1">
        <v>50345</v>
      </c>
      <c r="E3" s="1">
        <v>19479</v>
      </c>
      <c r="F3" s="1">
        <v>17918</v>
      </c>
      <c r="G3" s="1">
        <v>16.600000000000001</v>
      </c>
      <c r="H3" s="1">
        <v>3.99</v>
      </c>
      <c r="I3" s="1">
        <v>0.26</v>
      </c>
    </row>
    <row r="4" spans="1:9" x14ac:dyDescent="0.3">
      <c r="A4" s="3" t="s">
        <v>3</v>
      </c>
      <c r="B4" s="1">
        <v>25927054</v>
      </c>
      <c r="C4" s="1">
        <v>1706408</v>
      </c>
      <c r="D4" s="1">
        <v>179283</v>
      </c>
      <c r="E4" s="1">
        <v>104538</v>
      </c>
      <c r="F4" s="1">
        <v>94188</v>
      </c>
      <c r="G4" s="1">
        <v>15.2</v>
      </c>
      <c r="H4" s="1">
        <v>5.52</v>
      </c>
      <c r="I4" s="1">
        <v>0.4</v>
      </c>
    </row>
    <row r="5" spans="1:9" x14ac:dyDescent="0.3">
      <c r="A5" s="4" t="s">
        <v>4</v>
      </c>
      <c r="B5" s="5">
        <f>SUM(B2:B4)</f>
        <v>34757907</v>
      </c>
      <c r="C5" s="5">
        <f>SUM(C2:C4)</f>
        <v>2236244</v>
      </c>
      <c r="D5" s="5">
        <f>SUM(D2:D4)</f>
        <v>237028</v>
      </c>
      <c r="E5" s="5">
        <f>SUM(E2:E4)</f>
        <v>127736</v>
      </c>
      <c r="F5" s="5">
        <f>SUM(F2:F4)</f>
        <v>115506</v>
      </c>
      <c r="G5" s="5">
        <f>ROUND(B5/C5,1)</f>
        <v>15.5</v>
      </c>
      <c r="H5" s="5">
        <f>ROUND(F5/C5*100, 2)</f>
        <v>5.17</v>
      </c>
      <c r="I5" s="5">
        <f>ROUND(E5/B5*100, 2)</f>
        <v>0.37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BC35-7077-475B-9606-D07DD412C9D4}">
  <dimension ref="A1:K11"/>
  <sheetViews>
    <sheetView tabSelected="1" workbookViewId="0">
      <selection activeCell="C12" sqref="C12"/>
    </sheetView>
  </sheetViews>
  <sheetFormatPr defaultRowHeight="14.4" x14ac:dyDescent="0.3"/>
  <cols>
    <col min="1" max="1" width="11.6640625" bestFit="1" customWidth="1"/>
    <col min="2" max="3" width="8.33203125" bestFit="1" customWidth="1"/>
    <col min="4" max="4" width="7.33203125" bestFit="1" customWidth="1"/>
    <col min="5" max="5" width="8.77734375" bestFit="1" customWidth="1"/>
  </cols>
  <sheetData>
    <row r="1" spans="1:11" ht="24.6" x14ac:dyDescent="0.3">
      <c r="A1" s="6"/>
      <c r="B1" s="7" t="s">
        <v>12</v>
      </c>
      <c r="C1" s="7" t="s">
        <v>11</v>
      </c>
      <c r="D1" s="7" t="s">
        <v>10</v>
      </c>
      <c r="E1" s="7" t="s">
        <v>5</v>
      </c>
      <c r="G1" s="6"/>
      <c r="H1" s="7" t="s">
        <v>9</v>
      </c>
      <c r="I1" s="7" t="s">
        <v>8</v>
      </c>
      <c r="J1" s="7" t="s">
        <v>6</v>
      </c>
      <c r="K1" s="6" t="s">
        <v>7</v>
      </c>
    </row>
    <row r="2" spans="1:11" x14ac:dyDescent="0.3">
      <c r="A2" s="8" t="s">
        <v>1</v>
      </c>
      <c r="B2" s="9">
        <v>1360301</v>
      </c>
      <c r="C2" s="9">
        <v>80411</v>
      </c>
      <c r="D2" s="9">
        <v>7400</v>
      </c>
      <c r="E2" s="10">
        <v>16.899999999999999</v>
      </c>
      <c r="G2" s="8" t="s">
        <v>1</v>
      </c>
      <c r="H2" s="10">
        <v>3719</v>
      </c>
      <c r="I2" s="9">
        <v>3400</v>
      </c>
      <c r="J2" s="10">
        <v>4.2300000000000004</v>
      </c>
      <c r="K2" s="8">
        <v>0.27</v>
      </c>
    </row>
    <row r="3" spans="1:11" x14ac:dyDescent="0.3">
      <c r="A3" s="8" t="s">
        <v>2</v>
      </c>
      <c r="B3" s="9">
        <v>7470552</v>
      </c>
      <c r="C3" s="9">
        <v>449425</v>
      </c>
      <c r="D3" s="9">
        <v>50345</v>
      </c>
      <c r="E3" s="10">
        <v>16.600000000000001</v>
      </c>
      <c r="G3" s="8" t="s">
        <v>2</v>
      </c>
      <c r="H3" s="10">
        <v>19479</v>
      </c>
      <c r="I3" s="9">
        <v>17918</v>
      </c>
      <c r="J3" s="10">
        <v>3.99</v>
      </c>
      <c r="K3" s="8">
        <v>0.26</v>
      </c>
    </row>
    <row r="4" spans="1:11" x14ac:dyDescent="0.3">
      <c r="A4" s="8" t="s">
        <v>3</v>
      </c>
      <c r="B4" s="9">
        <v>25927054</v>
      </c>
      <c r="C4" s="9">
        <v>1706408</v>
      </c>
      <c r="D4" s="9">
        <v>179283</v>
      </c>
      <c r="E4" s="10">
        <v>15.2</v>
      </c>
      <c r="G4" s="8" t="s">
        <v>3</v>
      </c>
      <c r="H4" s="10">
        <v>104538</v>
      </c>
      <c r="I4" s="9">
        <v>94188</v>
      </c>
      <c r="J4" s="10">
        <v>5.52</v>
      </c>
      <c r="K4" s="8">
        <v>0.4</v>
      </c>
    </row>
    <row r="5" spans="1:11" x14ac:dyDescent="0.3">
      <c r="A5" s="11" t="s">
        <v>4</v>
      </c>
      <c r="B5" s="12">
        <v>34757907</v>
      </c>
      <c r="C5" s="12">
        <v>2236244</v>
      </c>
      <c r="D5" s="12">
        <v>237028</v>
      </c>
      <c r="E5" s="13">
        <v>15.5</v>
      </c>
      <c r="G5" s="11" t="s">
        <v>4</v>
      </c>
      <c r="H5" s="13">
        <v>127736</v>
      </c>
      <c r="I5" s="12">
        <v>115506</v>
      </c>
      <c r="J5" s="13">
        <v>5.17</v>
      </c>
      <c r="K5" s="11">
        <v>0.37</v>
      </c>
    </row>
    <row r="7" spans="1:11" x14ac:dyDescent="0.3">
      <c r="A7" s="6"/>
      <c r="B7" s="7" t="s">
        <v>0</v>
      </c>
      <c r="C7" t="s">
        <v>13</v>
      </c>
      <c r="D7" t="s">
        <v>14</v>
      </c>
    </row>
    <row r="8" spans="1:11" x14ac:dyDescent="0.3">
      <c r="A8" s="8" t="s">
        <v>1</v>
      </c>
      <c r="B8" s="9">
        <v>7400</v>
      </c>
      <c r="C8">
        <v>3400</v>
      </c>
      <c r="D8">
        <f>ROUND(C8/B8*100, 2)</f>
        <v>45.95</v>
      </c>
    </row>
    <row r="9" spans="1:11" x14ac:dyDescent="0.3">
      <c r="A9" s="8" t="s">
        <v>2</v>
      </c>
      <c r="B9" s="9">
        <v>50345</v>
      </c>
      <c r="C9">
        <v>17918</v>
      </c>
      <c r="D9">
        <f t="shared" ref="D9:D11" si="0">ROUND(C9/B9*100, 2)</f>
        <v>35.590000000000003</v>
      </c>
    </row>
    <row r="10" spans="1:11" x14ac:dyDescent="0.3">
      <c r="A10" s="8" t="s">
        <v>3</v>
      </c>
      <c r="B10" s="9">
        <v>179283</v>
      </c>
      <c r="C10">
        <v>94188</v>
      </c>
      <c r="D10">
        <f t="shared" si="0"/>
        <v>52.54</v>
      </c>
    </row>
    <row r="11" spans="1:11" x14ac:dyDescent="0.3">
      <c r="A11" s="11" t="s">
        <v>4</v>
      </c>
      <c r="B11" s="12">
        <v>237028</v>
      </c>
      <c r="C11">
        <f>SUM(C8:C10)</f>
        <v>115506</v>
      </c>
      <c r="D11">
        <f t="shared" si="0"/>
        <v>48.73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Schweinberger</dc:creator>
  <cp:lastModifiedBy>Martin Schweinberger</cp:lastModifiedBy>
  <dcterms:created xsi:type="dcterms:W3CDTF">2025-03-09T07:01:39Z</dcterms:created>
  <dcterms:modified xsi:type="dcterms:W3CDTF">2025-03-09T08:22:06Z</dcterms:modified>
</cp:coreProperties>
</file>